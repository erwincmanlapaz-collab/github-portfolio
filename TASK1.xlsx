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A_CollegeLibrary\Documents\"/>
    </mc:Choice>
  </mc:AlternateContent>
  <xr:revisionPtr revIDLastSave="0" documentId="8_{7ECDA9C3-CC28-47AF-AF74-0CA5FD9DEF5B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Data Cleaning Start" sheetId="2" r:id="rId1"/>
    <sheet name="Data Cleaning Start (2)" sheetId="3" r:id="rId2"/>
    <sheet name="Client" sheetId="4" r:id="rId3"/>
    <sheet name="State" sheetId="5" r:id="rId4"/>
    <sheet name="Payment" sheetId="6" r:id="rId5"/>
    <sheet name="Department" sheetId="7" r:id="rId6"/>
    <sheet name="VLookUp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8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K34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5" i="8" s="1"/>
  <c r="M6" i="8"/>
  <c r="M4" i="8"/>
  <c r="M3" i="8"/>
  <c r="H34" i="3"/>
  <c r="J4" i="3"/>
  <c r="J6" i="3"/>
  <c r="J7" i="3"/>
  <c r="J5" i="3" s="1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" i="3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<sst xmlns="http://schemas.openxmlformats.org/spreadsheetml/2006/main" count="608" uniqueCount="208">
  <si>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</si>
  <si>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</si>
  <si>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</si>
  <si>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</si>
  <si>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</si>
  <si>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</si>
  <si>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</si>
  <si>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</si>
  <si>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</si>
  <si>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</si>
  <si>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</si>
  <si>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</si>
  <si>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</si>
  <si>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</si>
  <si>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</si>
  <si>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</si>
  <si>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</si>
  <si>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</si>
  <si>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</si>
  <si>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</si>
  <si>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</si>
  <si>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</si>
  <si>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</si>
  <si>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</si>
  <si>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</si>
  <si>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</si>
  <si>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</si>
  <si>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</si>
  <si>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</si>
  <si>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</si>
  <si>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</si>
  <si>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</si>
  <si>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</si>
  <si>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</si>
  <si>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</si>
  <si>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</si>
  <si>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</si>
  <si>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</si>
  <si>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</si>
  <si>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</si>
  <si>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</si>
  <si>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</si>
  <si>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</si>
  <si>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</si>
  <si>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</si>
  <si>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</si>
  <si>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</si>
  <si>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</si>
  <si>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</si>
  <si>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</si>
  <si>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</si>
  <si>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</si>
  <si>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</si>
  <si>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</si>
  <si>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</si>
  <si>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</si>
  <si>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</si>
  <si>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</si>
  <si>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</si>
  <si>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</si>
  <si>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</si>
  <si>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</si>
  <si>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</si>
  <si>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</si>
  <si>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</si>
  <si>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</si>
  <si>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</si>
  <si>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</si>
  <si>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</si>
  <si>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</si>
  <si>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</si>
  <si>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</si>
  <si>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</si>
  <si>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</si>
  <si>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</si>
  <si>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</si>
  <si>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</si>
  <si>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</si>
  <si>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</si>
  <si>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</si>
  <si>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</si>
  <si>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</si>
  <si>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</si>
  <si>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</si>
  <si>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</si>
  <si>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</si>
  <si>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</si>
  <si>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</si>
  <si>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</si>
  <si>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</si>
  <si>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</si>
  <si>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</si>
  <si>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</si>
  <si>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</si>
  <si>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</si>
  <si>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</si>
  <si>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</si>
  <si>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</si>
  <si>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</si>
  <si>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</si>
  <si>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</si>
  <si>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</si>
  <si>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</si>
  <si>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</si>
  <si>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</si>
  <si>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</si>
  <si>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</si>
  <si>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</si>
  <si>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</si>
  <si>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</si>
  <si>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</si>
  <si>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</si>
  <si>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</si>
  <si>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</si>
  <si>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</si>
  <si>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</si>
  <si>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</si>
  <si>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</si>
  <si>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</si>
  <si>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</si>
  <si>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</si>
  <si>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</si>
  <si>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</si>
  <si>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State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</si>
  <si>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</si>
  <si>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</si>
  <si>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</si>
  <si>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</si>
  <si>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</si>
  <si>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</si>
  <si>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</si>
  <si>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</si>
  <si>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States</t>
  </si>
  <si>
    <t>Others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</si>
  <si>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</si>
  <si>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</si>
  <si>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</si>
  <si>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</si>
  <si>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</si>
  <si>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</si>
  <si>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</si>
  <si>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</si>
  <si>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</si>
  <si>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</si>
  <si>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</si>
  <si>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</si>
  <si>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</si>
  <si>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</si>
  <si>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</si>
  <si>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</si>
  <si>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</si>
  <si>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</si>
  <si>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</si>
  <si>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</si>
  <si>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</si>
  <si>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</si>
  <si>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</si>
  <si>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</si>
  <si>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</si>
  <si>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</si>
  <si>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</si>
  <si>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</si>
  <si>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s-101</t>
  </si>
  <si>
    <t>s-102</t>
  </si>
  <si>
    <t>s-104</t>
  </si>
  <si>
    <t>s-113</t>
  </si>
  <si>
    <t>state_id</t>
  </si>
  <si>
    <t>client_id</t>
  </si>
  <si>
    <t>payment_id</t>
  </si>
  <si>
    <t>p-101</t>
  </si>
  <si>
    <t>p-102</t>
  </si>
  <si>
    <t>p-103</t>
  </si>
  <si>
    <t>p-105</t>
  </si>
  <si>
    <t>p-109</t>
  </si>
  <si>
    <t>department_id</t>
  </si>
  <si>
    <t>d-101</t>
  </si>
  <si>
    <t>d-102</t>
  </si>
  <si>
    <t>d-104</t>
  </si>
  <si>
    <t>d-113</t>
  </si>
  <si>
    <t>trans_id</t>
  </si>
  <si>
    <t>t-101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</si>
  <si>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</si>
  <si>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</si>
  <si>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</si>
  <si>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</si>
  <si>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</si>
  <si>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</si>
  <si>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</si>
  <si>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</si>
  <si>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</si>
  <si>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</si>
  <si>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</si>
  <si>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</si>
  <si>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</si>
  <si>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</si>
  <si>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</si>
  <si>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</si>
  <si>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</si>
  <si>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</si>
  <si>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</si>
  <si>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</si>
  <si>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</si>
  <si>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</si>
  <si>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</si>
  <si>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</si>
  <si>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t-126</t>
  </si>
  <si>
    <t>t-127</t>
  </si>
  <si>
    <t>t-128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</si>
</sst>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0.0%"/>
    <numFmt numFmtId="166" formatCode="_-[$$-409]* #,##0.00_ ;_-[$$-409]* \-#,##0.00\ ;_-[$$-409]* &quot;-&quot;??_ ;_-@_ 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166" fontId="0" fillId="0" borderId="0" xfId="0" applyNumberFormat="1" applyAlignment="1">
      <alignment horizontal="center"/>
    </xf>
    <xf numFmtId="0" fontId="3" fillId="3" borderId="0" xfId="3"/>
    <xf numFmtId="0" fontId="3" fillId="3" borderId="0" xfId="3" applyAlignment="1">
      <alignment horizontal="center"/>
    </xf>
    <xf numFmtId="14" fontId="2" fillId="2" borderId="0" xfId="2" applyNumberFormat="1"/>
    <xf numFmtId="0" fontId="2" fillId="2" borderId="0" xfId="2"/>
  </cellXfs>
  <cellStyles count="4">
    <cellStyle name="Accent1" xfId="3" builtinId="29"/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2"/>
  <sheetViews>
    <sheetView zoomScale="130" zoomScaleNormal="130" workbookViewId="0">
      <selection activeCell="B8" sqref="B8"/>
    </sheetView>
  </sheetViews>
  <sheetFormatPr defaultColWidth="11" defaultRowHeight="15.75" x14ac:dyDescent="0.25"/>
  <cols>
    <col min="1" max="1" width="6.625" customWidth="1"/>
    <col min="2" max="2" width="10.875" customWidth="1"/>
    <col min="3" max="3" width="43.125" customWidth="1"/>
    <col min="4" max="5" width="16.875" bestFit="1" customWidth="1"/>
    <col min="6" max="6" width="8.25" customWidth="1"/>
    <col min="7" max="7" width="7.875" customWidth="1"/>
    <col min="8" max="8" width="7.25" customWidth="1"/>
    <col min="9" max="9" width="11.7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42"/>
  <sheetViews>
    <sheetView zoomScale="145" zoomScaleNormal="145" workbookViewId="0">
      <selection activeCell="A2" sqref="A2"/>
    </sheetView>
  </sheetViews>
  <sheetFormatPr defaultColWidth="11" defaultRowHeight="15.75" x14ac:dyDescent="0.25"/>
  <cols>
    <col min="1" max="1" width="7.5" customWidth="1"/>
    <col min="2" max="2" width="10.625" customWidth="1"/>
    <col min="3" max="3" width="32.875" customWidth="1"/>
    <col min="4" max="4" width="15.375" customWidth="1"/>
    <col min="5" max="5" width="13.875" customWidth="1"/>
    <col min="6" max="6" width="8.75" customWidth="1"/>
    <col min="7" max="7" width="11.125" customWidth="1"/>
    <col min="8" max="9" width="10.125" customWidth="1"/>
    <col min="10" max="10" width="12.375" customWidth="1"/>
  </cols>
  <sheetData>
    <row r="2" spans="1:10" x14ac:dyDescent="0.25">
      <c r="A2" s="6" t="s">
        <v>179</v>
      </c>
      <c r="B2" s="7" t="s">
        <v>0</v>
      </c>
      <c r="C2" s="7" t="s">
        <v>167</v>
      </c>
      <c r="D2" s="7" t="s">
        <v>1</v>
      </c>
      <c r="E2" s="7" t="s">
        <v>174</v>
      </c>
      <c r="F2" s="7" t="s">
        <v>166</v>
      </c>
      <c r="G2" s="7" t="s">
        <v>168</v>
      </c>
      <c r="H2" s="7" t="s">
        <v>2</v>
      </c>
      <c r="I2" s="7" t="s">
        <v>3</v>
      </c>
      <c r="J2" s="7" t="s">
        <v>4</v>
      </c>
    </row>
    <row r="3" spans="1:10" x14ac:dyDescent="0.25">
      <c r="A3" t="s">
        <v>180</v>
      </c>
      <c r="B3" s="4">
        <v>45076</v>
      </c>
      <c r="C3" t="s">
        <v>72</v>
      </c>
      <c r="D3" t="s">
        <v>100</v>
      </c>
      <c r="E3" t="s">
        <v>124</v>
      </c>
      <c r="F3" t="s">
        <v>125</v>
      </c>
      <c r="G3" t="s">
        <v>51</v>
      </c>
      <c r="H3" s="5">
        <v>4500</v>
      </c>
      <c r="I3" s="5">
        <v>598</v>
      </c>
      <c r="J3" s="2">
        <f>IFERROR(I3/H3,0)</f>
        <v>0.13288888888888889</v>
      </c>
    </row>
    <row r="4" spans="1:10" x14ac:dyDescent="0.25">
      <c r="A4" t="s">
        <v>181</v>
      </c>
      <c r="B4" s="4">
        <v>45076</v>
      </c>
      <c r="C4" t="s">
        <v>73</v>
      </c>
      <c r="D4" t="s">
        <v>101</v>
      </c>
      <c r="E4" t="s">
        <v>126</v>
      </c>
      <c r="F4" t="s">
        <v>127</v>
      </c>
      <c r="G4" t="s">
        <v>49</v>
      </c>
      <c r="H4" s="5">
        <v>3800</v>
      </c>
      <c r="I4" s="5">
        <v>1045</v>
      </c>
      <c r="J4" s="2">
        <f>IFERROR(I4/H4,0)</f>
        <v>0.27500000000000002</v>
      </c>
    </row>
    <row r="5" spans="1:10" x14ac:dyDescent="0.25">
      <c r="A5" t="s">
        <v>182</v>
      </c>
      <c r="B5" s="4">
        <v>45076</v>
      </c>
      <c r="C5" t="s">
        <v>74</v>
      </c>
      <c r="D5" t="s">
        <v>102</v>
      </c>
      <c r="E5" t="s">
        <v>126</v>
      </c>
      <c r="F5" t="s">
        <v>127</v>
      </c>
      <c r="G5" t="s">
        <v>133</v>
      </c>
      <c r="H5" s="5">
        <v>3712.5</v>
      </c>
      <c r="I5" s="5">
        <v>1009</v>
      </c>
      <c r="J5" s="2">
        <f>J7</f>
        <v>0.1368</v>
      </c>
    </row>
    <row r="6" spans="1:10" x14ac:dyDescent="0.25">
      <c r="A6" t="s">
        <v>183</v>
      </c>
      <c r="B6" s="4">
        <v>45076</v>
      </c>
      <c r="C6" t="s">
        <v>75</v>
      </c>
      <c r="D6" t="s">
        <v>35</v>
      </c>
      <c r="E6" t="s">
        <v>128</v>
      </c>
      <c r="F6" t="s">
        <v>129</v>
      </c>
      <c r="G6" t="s">
        <v>133</v>
      </c>
      <c r="H6" s="5">
        <v>4994</v>
      </c>
      <c r="I6" s="5">
        <v>779</v>
      </c>
      <c r="J6" s="2">
        <f t="shared" ref="J6:J30" si="0">IFERROR(I6/H6,0)</f>
        <v>0.15598718462154584</v>
      </c>
    </row>
    <row r="7" spans="1:10" x14ac:dyDescent="0.25">
      <c r="A7" t="s">
        <v>184</v>
      </c>
      <c r="B7" s="4">
        <v>45076</v>
      </c>
      <c r="C7" t="s">
        <v>76</v>
      </c>
      <c r="D7" t="s">
        <v>103</v>
      </c>
      <c r="E7" t="s">
        <v>128</v>
      </c>
      <c r="F7" t="s">
        <v>129</v>
      </c>
      <c r="G7" t="s">
        <v>50</v>
      </c>
      <c r="H7" s="5">
        <v>5000</v>
      </c>
      <c r="I7" s="5">
        <v>684</v>
      </c>
      <c r="J7" s="2">
        <f t="shared" si="0"/>
        <v>0.1368</v>
      </c>
    </row>
    <row r="8" spans="1:10" x14ac:dyDescent="0.25">
      <c r="A8" t="s">
        <v>185</v>
      </c>
      <c r="B8" s="4">
        <v>45077</v>
      </c>
      <c r="C8" t="s">
        <v>77</v>
      </c>
      <c r="D8" t="s">
        <v>104</v>
      </c>
      <c r="E8" t="s">
        <v>124</v>
      </c>
      <c r="F8" t="s">
        <v>125</v>
      </c>
      <c r="G8" t="s">
        <v>51</v>
      </c>
      <c r="H8" s="5">
        <v>6100</v>
      </c>
      <c r="I8" s="5">
        <v>544</v>
      </c>
      <c r="J8" s="2">
        <f t="shared" si="0"/>
        <v>8.9180327868852466E-2</v>
      </c>
    </row>
    <row r="9" spans="1:10" x14ac:dyDescent="0.25">
      <c r="A9" t="s">
        <v>186</v>
      </c>
      <c r="B9" s="4">
        <v>45077</v>
      </c>
      <c r="C9" t="s">
        <v>78</v>
      </c>
      <c r="D9" t="s">
        <v>105</v>
      </c>
      <c r="E9" t="s">
        <v>124</v>
      </c>
      <c r="F9" t="s">
        <v>125</v>
      </c>
      <c r="G9" t="s">
        <v>51</v>
      </c>
      <c r="H9" s="5">
        <v>4625</v>
      </c>
      <c r="I9" s="5">
        <v>670</v>
      </c>
      <c r="J9" s="2">
        <f t="shared" si="0"/>
        <v>0.14486486486486486</v>
      </c>
    </row>
    <row r="10" spans="1:10" x14ac:dyDescent="0.25">
      <c r="A10" t="s">
        <v>187</v>
      </c>
      <c r="B10" s="4">
        <v>45077</v>
      </c>
      <c r="C10" t="s">
        <v>79</v>
      </c>
      <c r="D10" t="s">
        <v>106</v>
      </c>
      <c r="E10" t="s">
        <v>124</v>
      </c>
      <c r="F10" t="s">
        <v>125</v>
      </c>
      <c r="G10" t="s">
        <v>51</v>
      </c>
      <c r="H10" s="5">
        <v>3800</v>
      </c>
      <c r="I10" s="5">
        <v>2045</v>
      </c>
      <c r="J10" s="2">
        <f t="shared" si="0"/>
        <v>0.53815789473684206</v>
      </c>
    </row>
    <row r="11" spans="1:10" x14ac:dyDescent="0.25">
      <c r="A11" t="s">
        <v>188</v>
      </c>
      <c r="B11" s="4">
        <v>45077</v>
      </c>
      <c r="C11" t="s">
        <v>80</v>
      </c>
      <c r="D11" t="s">
        <v>36</v>
      </c>
      <c r="E11" t="s">
        <v>124</v>
      </c>
      <c r="F11" t="s">
        <v>125</v>
      </c>
      <c r="G11" t="s">
        <v>48</v>
      </c>
      <c r="H11" s="5">
        <v>3600</v>
      </c>
      <c r="I11" s="5">
        <v>1564</v>
      </c>
      <c r="J11" s="2">
        <f t="shared" si="0"/>
        <v>0.43444444444444447</v>
      </c>
    </row>
    <row r="12" spans="1:10" x14ac:dyDescent="0.25">
      <c r="A12" t="s">
        <v>189</v>
      </c>
      <c r="B12" s="4">
        <v>45077</v>
      </c>
      <c r="C12" t="s">
        <v>81</v>
      </c>
      <c r="D12" t="s">
        <v>37</v>
      </c>
      <c r="E12" t="s">
        <v>124</v>
      </c>
      <c r="F12" t="s">
        <v>125</v>
      </c>
      <c r="G12" t="s">
        <v>50</v>
      </c>
      <c r="H12" s="5">
        <v>5100</v>
      </c>
      <c r="I12" s="5">
        <v>1220</v>
      </c>
      <c r="J12" s="2">
        <f t="shared" si="0"/>
        <v>0.23921568627450981</v>
      </c>
    </row>
    <row r="13" spans="1:10" x14ac:dyDescent="0.25">
      <c r="A13" t="s">
        <v>190</v>
      </c>
      <c r="B13" s="4">
        <v>45077</v>
      </c>
      <c r="C13" t="s">
        <v>82</v>
      </c>
      <c r="D13" t="s">
        <v>107</v>
      </c>
      <c r="E13" t="s">
        <v>124</v>
      </c>
      <c r="F13" t="s">
        <v>125</v>
      </c>
      <c r="G13" t="s">
        <v>50</v>
      </c>
      <c r="H13" s="5">
        <v>4750</v>
      </c>
      <c r="I13" s="5">
        <v>1435</v>
      </c>
      <c r="J13" s="2">
        <f t="shared" si="0"/>
        <v>0.30210526315789471</v>
      </c>
    </row>
    <row r="14" spans="1:10" x14ac:dyDescent="0.25">
      <c r="A14" t="s">
        <v>191</v>
      </c>
      <c r="B14" s="4">
        <v>45077</v>
      </c>
      <c r="C14" t="s">
        <v>83</v>
      </c>
      <c r="D14" t="s">
        <v>108</v>
      </c>
      <c r="E14" t="s">
        <v>128</v>
      </c>
      <c r="F14" t="s">
        <v>129</v>
      </c>
      <c r="G14" t="s">
        <v>51</v>
      </c>
      <c r="H14" s="5">
        <v>6000</v>
      </c>
      <c r="I14" s="5">
        <v>998</v>
      </c>
      <c r="J14" s="2">
        <f t="shared" si="0"/>
        <v>0.16633333333333333</v>
      </c>
    </row>
    <row r="15" spans="1:10" x14ac:dyDescent="0.25">
      <c r="A15" t="s">
        <v>192</v>
      </c>
      <c r="B15" s="4">
        <v>45077</v>
      </c>
      <c r="C15" t="s">
        <v>84</v>
      </c>
      <c r="D15" t="s">
        <v>109</v>
      </c>
      <c r="E15" t="s">
        <v>130</v>
      </c>
      <c r="F15" t="s">
        <v>131</v>
      </c>
      <c r="G15" t="s">
        <v>50</v>
      </c>
      <c r="H15" s="5">
        <v>4500</v>
      </c>
      <c r="I15" s="5">
        <v>780</v>
      </c>
      <c r="J15" s="2">
        <f t="shared" si="0"/>
        <v>0.17333333333333334</v>
      </c>
    </row>
    <row r="16" spans="1:10" x14ac:dyDescent="0.25">
      <c r="A16" t="s">
        <v>193</v>
      </c>
      <c r="B16" s="4">
        <v>45078</v>
      </c>
      <c r="C16" t="s">
        <v>85</v>
      </c>
      <c r="D16" t="s">
        <v>38</v>
      </c>
      <c r="E16" t="s">
        <v>130</v>
      </c>
      <c r="F16" t="s">
        <v>131</v>
      </c>
      <c r="G16" t="s">
        <v>48</v>
      </c>
      <c r="H16" s="5">
        <v>4994</v>
      </c>
      <c r="I16" s="5">
        <v>1044</v>
      </c>
      <c r="J16" s="2">
        <f t="shared" si="0"/>
        <v>0.20905086103323989</v>
      </c>
    </row>
    <row r="17" spans="1:10" x14ac:dyDescent="0.25">
      <c r="A17" t="s">
        <v>194</v>
      </c>
      <c r="B17" s="4">
        <v>45078</v>
      </c>
      <c r="C17" t="s">
        <v>86</v>
      </c>
      <c r="D17" t="s">
        <v>110</v>
      </c>
      <c r="E17" t="s">
        <v>130</v>
      </c>
      <c r="F17" t="s">
        <v>131</v>
      </c>
      <c r="G17" t="s">
        <v>51</v>
      </c>
      <c r="H17" s="5">
        <v>3712.5</v>
      </c>
      <c r="I17" s="5">
        <v>1222</v>
      </c>
      <c r="J17" s="2">
        <f t="shared" si="0"/>
        <v>0.32915824915824915</v>
      </c>
    </row>
    <row r="18" spans="1:10" x14ac:dyDescent="0.25">
      <c r="A18" t="s">
        <v>195</v>
      </c>
      <c r="B18" s="4">
        <v>45078</v>
      </c>
      <c r="C18" t="s">
        <v>87</v>
      </c>
      <c r="D18" t="s">
        <v>111</v>
      </c>
      <c r="E18" t="s">
        <v>130</v>
      </c>
      <c r="F18" t="s">
        <v>131</v>
      </c>
      <c r="G18" t="s">
        <v>51</v>
      </c>
      <c r="H18" s="5">
        <v>4950</v>
      </c>
      <c r="I18" s="5">
        <v>1065</v>
      </c>
      <c r="J18" s="2">
        <f t="shared" si="0"/>
        <v>0.21515151515151515</v>
      </c>
    </row>
    <row r="19" spans="1:10" x14ac:dyDescent="0.25">
      <c r="A19" t="s">
        <v>196</v>
      </c>
      <c r="B19" s="4">
        <v>45078</v>
      </c>
      <c r="C19" t="s">
        <v>88</v>
      </c>
      <c r="D19" t="s">
        <v>112</v>
      </c>
      <c r="E19" t="s">
        <v>128</v>
      </c>
      <c r="F19" t="s">
        <v>129</v>
      </c>
      <c r="G19" t="s">
        <v>51</v>
      </c>
      <c r="H19" s="5">
        <v>4750</v>
      </c>
      <c r="I19" s="5">
        <v>810</v>
      </c>
      <c r="J19" s="2">
        <f t="shared" si="0"/>
        <v>0.17052631578947369</v>
      </c>
    </row>
    <row r="20" spans="1:10" x14ac:dyDescent="0.25">
      <c r="A20" t="s">
        <v>197</v>
      </c>
      <c r="B20" s="4">
        <v>45078</v>
      </c>
      <c r="C20" t="s">
        <v>89</v>
      </c>
      <c r="D20" t="s">
        <v>113</v>
      </c>
      <c r="E20" t="s">
        <v>128</v>
      </c>
      <c r="F20" t="s">
        <v>129</v>
      </c>
      <c r="G20" t="s">
        <v>51</v>
      </c>
      <c r="H20" s="5">
        <v>7320</v>
      </c>
      <c r="I20" s="5">
        <v>933</v>
      </c>
      <c r="J20" s="2">
        <f t="shared" si="0"/>
        <v>0.12745901639344262</v>
      </c>
    </row>
    <row r="21" spans="1:10" x14ac:dyDescent="0.25">
      <c r="A21" t="s">
        <v>198</v>
      </c>
      <c r="B21" s="4">
        <v>45078</v>
      </c>
      <c r="C21" t="s">
        <v>90</v>
      </c>
      <c r="D21" t="s">
        <v>114</v>
      </c>
      <c r="E21" t="s">
        <v>130</v>
      </c>
      <c r="F21" t="s">
        <v>131</v>
      </c>
      <c r="G21" t="s">
        <v>51</v>
      </c>
      <c r="H21" s="5">
        <v>5087.5</v>
      </c>
      <c r="I21" s="5">
        <v>655</v>
      </c>
      <c r="J21" s="2">
        <f t="shared" si="0"/>
        <v>0.12874692874692875</v>
      </c>
    </row>
    <row r="22" spans="1:10" x14ac:dyDescent="0.25">
      <c r="A22" t="s">
        <v>199</v>
      </c>
      <c r="B22" s="4">
        <v>45078</v>
      </c>
      <c r="C22" t="s">
        <v>91</v>
      </c>
      <c r="D22" t="s">
        <v>115</v>
      </c>
      <c r="E22" t="s">
        <v>130</v>
      </c>
      <c r="F22" t="s">
        <v>131</v>
      </c>
      <c r="G22" t="s">
        <v>51</v>
      </c>
      <c r="H22" s="5">
        <v>4500</v>
      </c>
      <c r="I22" s="5">
        <v>722</v>
      </c>
      <c r="J22" s="2">
        <f t="shared" si="0"/>
        <v>0.16044444444444445</v>
      </c>
    </row>
    <row r="23" spans="1:10" x14ac:dyDescent="0.25">
      <c r="A23" t="s">
        <v>200</v>
      </c>
      <c r="B23" s="4">
        <v>45078</v>
      </c>
      <c r="C23" t="s">
        <v>92</v>
      </c>
      <c r="D23" t="s">
        <v>116</v>
      </c>
      <c r="E23" t="s">
        <v>130</v>
      </c>
      <c r="F23" t="s">
        <v>131</v>
      </c>
      <c r="G23" t="s">
        <v>48</v>
      </c>
      <c r="H23" s="5">
        <v>4250</v>
      </c>
      <c r="I23" s="5">
        <v>901</v>
      </c>
      <c r="J23" s="2">
        <f t="shared" si="0"/>
        <v>0.21199999999999999</v>
      </c>
    </row>
    <row r="24" spans="1:10" x14ac:dyDescent="0.25">
      <c r="A24" t="s">
        <v>201</v>
      </c>
      <c r="B24" s="4">
        <v>45079</v>
      </c>
      <c r="C24" t="s">
        <v>93</v>
      </c>
      <c r="D24" t="s">
        <v>117</v>
      </c>
      <c r="E24" t="s">
        <v>130</v>
      </c>
      <c r="F24" t="s">
        <v>131</v>
      </c>
      <c r="G24" t="s">
        <v>49</v>
      </c>
      <c r="H24" s="5">
        <v>5250</v>
      </c>
      <c r="I24" s="5">
        <v>1349</v>
      </c>
      <c r="J24" s="2">
        <f t="shared" si="0"/>
        <v>0.25695238095238093</v>
      </c>
    </row>
    <row r="25" spans="1:10" x14ac:dyDescent="0.25">
      <c r="A25" t="s">
        <v>202</v>
      </c>
      <c r="B25" s="4">
        <v>45079</v>
      </c>
      <c r="C25" t="s">
        <v>94</v>
      </c>
      <c r="D25" t="s">
        <v>118</v>
      </c>
      <c r="E25" t="s">
        <v>126</v>
      </c>
      <c r="F25" t="s">
        <v>127</v>
      </c>
      <c r="G25" t="s">
        <v>49</v>
      </c>
      <c r="H25" s="5">
        <v>6500</v>
      </c>
      <c r="I25" s="5">
        <v>1288</v>
      </c>
      <c r="J25" s="2">
        <f t="shared" si="0"/>
        <v>0.19815384615384615</v>
      </c>
    </row>
    <row r="26" spans="1:10" x14ac:dyDescent="0.25">
      <c r="A26" t="s">
        <v>203</v>
      </c>
      <c r="B26" s="4">
        <v>45079</v>
      </c>
      <c r="C26" t="s">
        <v>95</v>
      </c>
      <c r="D26" t="s">
        <v>119</v>
      </c>
      <c r="E26" t="s">
        <v>126</v>
      </c>
      <c r="F26" t="s">
        <v>127</v>
      </c>
      <c r="G26" t="s">
        <v>49</v>
      </c>
      <c r="H26" s="5">
        <v>7500</v>
      </c>
      <c r="I26" s="5">
        <v>1664</v>
      </c>
      <c r="J26" s="2">
        <f t="shared" si="0"/>
        <v>0.22186666666666666</v>
      </c>
    </row>
    <row r="27" spans="1:10" x14ac:dyDescent="0.25">
      <c r="A27" t="s">
        <v>204</v>
      </c>
      <c r="B27" s="4">
        <v>45079</v>
      </c>
      <c r="C27" t="s">
        <v>96</v>
      </c>
      <c r="D27" t="s">
        <v>120</v>
      </c>
      <c r="E27" t="s">
        <v>126</v>
      </c>
      <c r="F27" t="s">
        <v>127</v>
      </c>
      <c r="G27" t="s">
        <v>51</v>
      </c>
      <c r="H27" s="5">
        <v>5500</v>
      </c>
      <c r="I27" s="5">
        <v>1320</v>
      </c>
      <c r="J27" s="2">
        <f t="shared" si="0"/>
        <v>0.24</v>
      </c>
    </row>
    <row r="28" spans="1:10" x14ac:dyDescent="0.25">
      <c r="A28" t="s">
        <v>205</v>
      </c>
      <c r="B28" s="4">
        <v>45079</v>
      </c>
      <c r="C28" t="s">
        <v>97</v>
      </c>
      <c r="D28" t="s">
        <v>121</v>
      </c>
      <c r="E28" t="s">
        <v>126</v>
      </c>
      <c r="F28" t="s">
        <v>127</v>
      </c>
      <c r="G28" t="s">
        <v>51</v>
      </c>
      <c r="H28" s="5">
        <v>4625</v>
      </c>
      <c r="I28" s="5">
        <v>1001</v>
      </c>
      <c r="J28" s="2">
        <f t="shared" si="0"/>
        <v>0.21643243243243243</v>
      </c>
    </row>
    <row r="29" spans="1:10" x14ac:dyDescent="0.25">
      <c r="A29" t="s">
        <v>206</v>
      </c>
      <c r="B29" s="4">
        <v>45079</v>
      </c>
      <c r="C29" t="s">
        <v>98</v>
      </c>
      <c r="D29" t="s">
        <v>122</v>
      </c>
      <c r="E29" t="s">
        <v>126</v>
      </c>
      <c r="F29" t="s">
        <v>127</v>
      </c>
      <c r="G29" t="s">
        <v>51</v>
      </c>
      <c r="H29" s="5">
        <v>4500</v>
      </c>
      <c r="I29" s="5">
        <v>960</v>
      </c>
      <c r="J29" s="2">
        <f t="shared" si="0"/>
        <v>0.21333333333333335</v>
      </c>
    </row>
    <row r="30" spans="1:10" x14ac:dyDescent="0.25">
      <c r="A30" t="s">
        <v>207</v>
      </c>
      <c r="B30" s="4">
        <v>45079</v>
      </c>
      <c r="C30" t="s">
        <v>99</v>
      </c>
      <c r="D30" t="s">
        <v>39</v>
      </c>
      <c r="E30" t="s">
        <v>126</v>
      </c>
      <c r="F30" t="s">
        <v>127</v>
      </c>
      <c r="G30" t="s">
        <v>48</v>
      </c>
      <c r="H30" s="5">
        <v>5400</v>
      </c>
      <c r="I30" s="5">
        <v>540</v>
      </c>
      <c r="J30" s="2">
        <f t="shared" si="0"/>
        <v>0.1</v>
      </c>
    </row>
    <row r="34" spans="8:8" x14ac:dyDescent="0.25">
      <c r="H34" s="1">
        <f>AVERAGE(H3:H33)</f>
        <v>4975.7321428571431</v>
      </c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2"/>
  <sheetViews>
    <sheetView zoomScale="145" zoomScaleNormal="145" workbookViewId="0">
      <selection activeCell="C2" sqref="C2"/>
    </sheetView>
  </sheetViews>
  <sheetFormatPr defaultColWidth="11" defaultRowHeight="15.75" x14ac:dyDescent="0.25"/>
  <cols>
    <col min="1" max="2" width="32.875" customWidth="1"/>
    <col min="3" max="4" width="15.375" customWidth="1"/>
    <col min="5" max="5" width="16.875" bestFit="1" customWidth="1"/>
    <col min="6" max="6" width="16.875" customWidth="1"/>
    <col min="7" max="7" width="8.25" customWidth="1"/>
    <col min="8" max="9" width="10.125" customWidth="1"/>
    <col min="10" max="10" width="11.75" customWidth="1"/>
  </cols>
  <sheetData>
    <row r="2" spans="1:3" x14ac:dyDescent="0.25">
      <c r="A2" s="7" t="s">
        <v>5</v>
      </c>
      <c r="B2" s="7" t="s">
        <v>167</v>
      </c>
      <c r="C2" s="7" t="s">
        <v>1</v>
      </c>
    </row>
    <row r="3" spans="1:3" x14ac:dyDescent="0.25">
      <c r="A3" t="s">
        <v>72</v>
      </c>
      <c r="B3" t="s">
        <v>134</v>
      </c>
      <c r="C3" t="s">
        <v>100</v>
      </c>
    </row>
    <row r="4" spans="1:3" x14ac:dyDescent="0.25">
      <c r="A4" t="s">
        <v>90</v>
      </c>
      <c r="B4" t="s">
        <v>135</v>
      </c>
      <c r="C4" t="s">
        <v>114</v>
      </c>
    </row>
    <row r="5" spans="1:3" x14ac:dyDescent="0.25">
      <c r="A5" t="s">
        <v>80</v>
      </c>
      <c r="B5" t="s">
        <v>136</v>
      </c>
      <c r="C5" t="s">
        <v>36</v>
      </c>
    </row>
    <row r="6" spans="1:3" x14ac:dyDescent="0.25">
      <c r="A6" t="s">
        <v>89</v>
      </c>
      <c r="B6" t="s">
        <v>137</v>
      </c>
      <c r="C6" t="s">
        <v>113</v>
      </c>
    </row>
    <row r="7" spans="1:3" x14ac:dyDescent="0.25">
      <c r="A7" t="s">
        <v>88</v>
      </c>
      <c r="B7" t="s">
        <v>138</v>
      </c>
      <c r="C7" t="s">
        <v>112</v>
      </c>
    </row>
    <row r="8" spans="1:3" x14ac:dyDescent="0.25">
      <c r="A8" t="s">
        <v>79</v>
      </c>
      <c r="B8" t="s">
        <v>139</v>
      </c>
      <c r="C8" t="s">
        <v>106</v>
      </c>
    </row>
    <row r="9" spans="1:3" x14ac:dyDescent="0.25">
      <c r="A9" t="s">
        <v>94</v>
      </c>
      <c r="B9" t="s">
        <v>140</v>
      </c>
      <c r="C9" t="s">
        <v>118</v>
      </c>
    </row>
    <row r="10" spans="1:3" x14ac:dyDescent="0.25">
      <c r="A10" t="s">
        <v>83</v>
      </c>
      <c r="B10" t="s">
        <v>141</v>
      </c>
      <c r="C10" t="s">
        <v>108</v>
      </c>
    </row>
    <row r="11" spans="1:3" x14ac:dyDescent="0.25">
      <c r="A11" t="s">
        <v>95</v>
      </c>
      <c r="B11" t="s">
        <v>142</v>
      </c>
      <c r="C11" t="s">
        <v>119</v>
      </c>
    </row>
    <row r="12" spans="1:3" x14ac:dyDescent="0.25">
      <c r="A12" t="s">
        <v>85</v>
      </c>
      <c r="B12" t="s">
        <v>143</v>
      </c>
      <c r="C12" t="s">
        <v>38</v>
      </c>
    </row>
    <row r="13" spans="1:3" x14ac:dyDescent="0.25">
      <c r="A13" t="s">
        <v>97</v>
      </c>
      <c r="B13" t="s">
        <v>144</v>
      </c>
      <c r="C13" t="s">
        <v>121</v>
      </c>
    </row>
    <row r="14" spans="1:3" x14ac:dyDescent="0.25">
      <c r="A14" t="s">
        <v>98</v>
      </c>
      <c r="B14" t="s">
        <v>145</v>
      </c>
      <c r="C14" t="s">
        <v>122</v>
      </c>
    </row>
    <row r="15" spans="1:3" x14ac:dyDescent="0.25">
      <c r="A15" t="s">
        <v>92</v>
      </c>
      <c r="B15" t="s">
        <v>146</v>
      </c>
      <c r="C15" t="s">
        <v>116</v>
      </c>
    </row>
    <row r="16" spans="1:3" x14ac:dyDescent="0.25">
      <c r="A16" t="s">
        <v>91</v>
      </c>
      <c r="B16" t="s">
        <v>147</v>
      </c>
      <c r="C16" t="s">
        <v>115</v>
      </c>
    </row>
    <row r="17" spans="1:3" x14ac:dyDescent="0.25">
      <c r="A17" t="s">
        <v>96</v>
      </c>
      <c r="B17" t="s">
        <v>148</v>
      </c>
      <c r="C17" t="s">
        <v>120</v>
      </c>
    </row>
    <row r="18" spans="1:3" x14ac:dyDescent="0.25">
      <c r="A18" t="s">
        <v>77</v>
      </c>
      <c r="B18" t="s">
        <v>149</v>
      </c>
      <c r="C18" t="s">
        <v>104</v>
      </c>
    </row>
    <row r="19" spans="1:3" x14ac:dyDescent="0.25">
      <c r="A19" t="s">
        <v>99</v>
      </c>
      <c r="B19" t="s">
        <v>150</v>
      </c>
      <c r="C19" t="s">
        <v>39</v>
      </c>
    </row>
    <row r="20" spans="1:3" x14ac:dyDescent="0.25">
      <c r="A20" t="s">
        <v>84</v>
      </c>
      <c r="B20" t="s">
        <v>151</v>
      </c>
      <c r="C20" t="s">
        <v>109</v>
      </c>
    </row>
    <row r="21" spans="1:3" x14ac:dyDescent="0.25">
      <c r="A21" t="s">
        <v>93</v>
      </c>
      <c r="B21" t="s">
        <v>152</v>
      </c>
      <c r="C21" t="s">
        <v>117</v>
      </c>
    </row>
    <row r="22" spans="1:3" x14ac:dyDescent="0.25">
      <c r="A22" t="s">
        <v>78</v>
      </c>
      <c r="B22" t="s">
        <v>153</v>
      </c>
      <c r="C22" t="s">
        <v>105</v>
      </c>
    </row>
    <row r="23" spans="1:3" x14ac:dyDescent="0.25">
      <c r="A23" t="s">
        <v>74</v>
      </c>
      <c r="B23" t="s">
        <v>154</v>
      </c>
      <c r="C23" t="s">
        <v>102</v>
      </c>
    </row>
    <row r="24" spans="1:3" x14ac:dyDescent="0.25">
      <c r="A24" t="s">
        <v>82</v>
      </c>
      <c r="B24" t="s">
        <v>155</v>
      </c>
      <c r="C24" t="s">
        <v>107</v>
      </c>
    </row>
    <row r="25" spans="1:3" x14ac:dyDescent="0.25">
      <c r="A25" t="s">
        <v>73</v>
      </c>
      <c r="B25" t="s">
        <v>156</v>
      </c>
      <c r="C25" t="s">
        <v>101</v>
      </c>
    </row>
    <row r="26" spans="1:3" x14ac:dyDescent="0.25">
      <c r="A26" t="s">
        <v>76</v>
      </c>
      <c r="B26" t="s">
        <v>157</v>
      </c>
      <c r="C26" t="s">
        <v>103</v>
      </c>
    </row>
    <row r="27" spans="1:3" x14ac:dyDescent="0.25">
      <c r="A27" t="s">
        <v>87</v>
      </c>
      <c r="B27" t="s">
        <v>158</v>
      </c>
      <c r="C27" t="s">
        <v>111</v>
      </c>
    </row>
    <row r="28" spans="1:3" x14ac:dyDescent="0.25">
      <c r="A28" t="s">
        <v>75</v>
      </c>
      <c r="B28" t="s">
        <v>159</v>
      </c>
      <c r="C28" t="s">
        <v>35</v>
      </c>
    </row>
    <row r="29" spans="1:3" x14ac:dyDescent="0.25">
      <c r="A29" t="s">
        <v>86</v>
      </c>
      <c r="B29" t="s">
        <v>160</v>
      </c>
      <c r="C29" t="s">
        <v>110</v>
      </c>
    </row>
    <row r="30" spans="1:3" x14ac:dyDescent="0.25">
      <c r="A30" t="s">
        <v>81</v>
      </c>
      <c r="B30" t="s">
        <v>161</v>
      </c>
      <c r="C30" t="s">
        <v>37</v>
      </c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sortState xmlns:xlrd2="http://schemas.microsoft.com/office/spreadsheetml/2017/richdata2" ref="A3:B30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2"/>
  <sheetViews>
    <sheetView zoomScale="145" zoomScaleNormal="145" workbookViewId="0">
      <selection activeCell="A2" sqref="A2:B2"/>
    </sheetView>
  </sheetViews>
  <sheetFormatPr defaultColWidth="11" defaultRowHeight="15.75" x14ac:dyDescent="0.25"/>
  <cols>
    <col min="1" max="1" width="8.75" customWidth="1"/>
    <col min="2" max="2" width="32.875" customWidth="1"/>
    <col min="3" max="3" width="15.375" customWidth="1"/>
    <col min="4" max="4" width="16.875" bestFit="1" customWidth="1"/>
    <col min="5" max="5" width="16.875" customWidth="1"/>
    <col min="6" max="6" width="8.25" customWidth="1"/>
    <col min="7" max="8" width="10.125" customWidth="1"/>
    <col min="9" max="9" width="11.75" customWidth="1"/>
  </cols>
  <sheetData>
    <row r="2" spans="1:2" x14ac:dyDescent="0.25">
      <c r="A2" s="7" t="s">
        <v>132</v>
      </c>
      <c r="B2" s="6" t="s">
        <v>166</v>
      </c>
    </row>
    <row r="3" spans="1:2" x14ac:dyDescent="0.25">
      <c r="A3" t="s">
        <v>131</v>
      </c>
      <c r="B3" t="s">
        <v>162</v>
      </c>
    </row>
    <row r="4" spans="1:2" x14ac:dyDescent="0.25">
      <c r="A4" t="s">
        <v>129</v>
      </c>
      <c r="B4" t="s">
        <v>163</v>
      </c>
    </row>
    <row r="5" spans="1:2" x14ac:dyDescent="0.25">
      <c r="A5" t="s">
        <v>127</v>
      </c>
      <c r="B5" t="s">
        <v>164</v>
      </c>
    </row>
    <row r="6" spans="1:2" x14ac:dyDescent="0.25">
      <c r="A6" t="s">
        <v>125</v>
      </c>
      <c r="B6" t="s">
        <v>165</v>
      </c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</sheetData>
  <sortState xmlns:xlrd2="http://schemas.microsoft.com/office/spreadsheetml/2017/richdata2" ref="A3:A6">
    <sortCondition ref="A3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42"/>
  <sheetViews>
    <sheetView zoomScale="145" zoomScaleNormal="145" workbookViewId="0">
      <selection activeCell="A2" sqref="A2:B2"/>
    </sheetView>
  </sheetViews>
  <sheetFormatPr defaultColWidth="11" defaultRowHeight="15.75" x14ac:dyDescent="0.25"/>
  <cols>
    <col min="1" max="1" width="10.375" customWidth="1"/>
    <col min="2" max="2" width="8.5" customWidth="1"/>
    <col min="3" max="3" width="32.875" customWidth="1"/>
    <col min="4" max="4" width="15.375" customWidth="1"/>
    <col min="5" max="5" width="16.875" bestFit="1" customWidth="1"/>
    <col min="6" max="6" width="16.875" customWidth="1"/>
    <col min="7" max="7" width="8.25" customWidth="1"/>
    <col min="8" max="9" width="10.125" customWidth="1"/>
    <col min="10" max="10" width="11.75" customWidth="1"/>
  </cols>
  <sheetData>
    <row r="2" spans="1:2" x14ac:dyDescent="0.25">
      <c r="A2" s="6" t="s">
        <v>168</v>
      </c>
      <c r="B2" s="7" t="s">
        <v>47</v>
      </c>
    </row>
    <row r="3" spans="1:2" x14ac:dyDescent="0.25">
      <c r="A3" t="s">
        <v>169</v>
      </c>
      <c r="B3" t="s">
        <v>51</v>
      </c>
    </row>
    <row r="4" spans="1:2" x14ac:dyDescent="0.25">
      <c r="A4" t="s">
        <v>170</v>
      </c>
      <c r="B4" t="s">
        <v>48</v>
      </c>
    </row>
    <row r="5" spans="1:2" x14ac:dyDescent="0.25">
      <c r="A5" t="s">
        <v>171</v>
      </c>
      <c r="B5" t="s">
        <v>50</v>
      </c>
    </row>
    <row r="6" spans="1:2" x14ac:dyDescent="0.25">
      <c r="A6" t="s">
        <v>172</v>
      </c>
      <c r="B6" t="s">
        <v>133</v>
      </c>
    </row>
    <row r="7" spans="1:2" x14ac:dyDescent="0.25">
      <c r="A7" t="s">
        <v>173</v>
      </c>
      <c r="B7" t="s">
        <v>49</v>
      </c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sortState xmlns:xlrd2="http://schemas.microsoft.com/office/spreadsheetml/2017/richdata2" ref="B4:B7">
    <sortCondition ref="B3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42"/>
  <sheetViews>
    <sheetView zoomScale="145" zoomScaleNormal="145" workbookViewId="0">
      <selection activeCell="A2" sqref="A2:B2"/>
    </sheetView>
  </sheetViews>
  <sheetFormatPr defaultColWidth="11" defaultRowHeight="15.75" x14ac:dyDescent="0.25"/>
  <cols>
    <col min="1" max="1" width="11.25" customWidth="1"/>
    <col min="2" max="2" width="32.875" customWidth="1"/>
    <col min="3" max="3" width="15.375" customWidth="1"/>
    <col min="4" max="4" width="16.875" bestFit="1" customWidth="1"/>
    <col min="5" max="5" width="16.875" customWidth="1"/>
    <col min="6" max="6" width="8.25" customWidth="1"/>
    <col min="7" max="8" width="10.125" customWidth="1"/>
    <col min="9" max="9" width="11.75" customWidth="1"/>
  </cols>
  <sheetData>
    <row r="2" spans="1:2" x14ac:dyDescent="0.25">
      <c r="A2" s="7" t="s">
        <v>6</v>
      </c>
      <c r="B2" s="6" t="s">
        <v>174</v>
      </c>
    </row>
    <row r="3" spans="1:2" x14ac:dyDescent="0.25">
      <c r="A3" t="s">
        <v>130</v>
      </c>
      <c r="B3" t="s">
        <v>175</v>
      </c>
    </row>
    <row r="4" spans="1:2" x14ac:dyDescent="0.25">
      <c r="A4" t="s">
        <v>124</v>
      </c>
      <c r="B4" t="s">
        <v>176</v>
      </c>
    </row>
    <row r="5" spans="1:2" x14ac:dyDescent="0.25">
      <c r="A5" t="s">
        <v>128</v>
      </c>
      <c r="B5" t="s">
        <v>177</v>
      </c>
    </row>
    <row r="6" spans="1:2" x14ac:dyDescent="0.25">
      <c r="A6" t="s">
        <v>126</v>
      </c>
      <c r="B6" t="s">
        <v>178</v>
      </c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</sheetData>
  <sortState xmlns:xlrd2="http://schemas.microsoft.com/office/spreadsheetml/2017/richdata2" ref="A3:A6">
    <sortCondition ref="A3:A6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42"/>
  <sheetViews>
    <sheetView tabSelected="1" zoomScale="145" zoomScaleNormal="145" workbookViewId="0">
      <selection activeCell="H3" sqref="H3:H30"/>
    </sheetView>
  </sheetViews>
  <sheetFormatPr defaultColWidth="11" defaultRowHeight="15.75" x14ac:dyDescent="0.25"/>
  <cols>
    <col min="1" max="1" width="7.5" customWidth="1"/>
    <col min="2" max="2" width="10.625" customWidth="1"/>
    <col min="3" max="3" width="21.875" customWidth="1"/>
    <col min="4" max="4" width="32.875" customWidth="1"/>
    <col min="5" max="6" width="15.375" customWidth="1"/>
    <col min="7" max="8" width="13.875" customWidth="1"/>
    <col min="9" max="9" width="8.75" customWidth="1"/>
    <col min="10" max="10" width="11.125" customWidth="1"/>
    <col min="11" max="12" width="10.125" customWidth="1"/>
    <col min="13" max="13" width="12.375" customWidth="1"/>
  </cols>
  <sheetData>
    <row r="2" spans="1:13" x14ac:dyDescent="0.25">
      <c r="A2" s="6" t="s">
        <v>179</v>
      </c>
      <c r="B2" s="7" t="s">
        <v>0</v>
      </c>
      <c r="C2" s="7" t="s">
        <v>167</v>
      </c>
      <c r="D2" s="7" t="s">
        <v>5</v>
      </c>
      <c r="E2" s="7" t="s">
        <v>1</v>
      </c>
      <c r="F2" s="7" t="s">
        <v>174</v>
      </c>
      <c r="G2" s="7" t="s">
        <v>6</v>
      </c>
      <c r="H2" s="7" t="s">
        <v>166</v>
      </c>
      <c r="I2" s="7" t="s">
        <v>123</v>
      </c>
      <c r="J2" s="7" t="s">
        <v>168</v>
      </c>
      <c r="K2" s="7" t="s">
        <v>2</v>
      </c>
      <c r="L2" s="7" t="s">
        <v>3</v>
      </c>
      <c r="M2" s="7" t="s">
        <v>4</v>
      </c>
    </row>
    <row r="3" spans="1:13" x14ac:dyDescent="0.25">
      <c r="A3" t="s">
        <v>180</v>
      </c>
      <c r="B3" s="4">
        <v>45076</v>
      </c>
      <c r="C3" s="8" t="str">
        <f>VLOOKUP(D3,Client!A$3:C$30,2,FALSE)</f>
        <v>c-101</v>
      </c>
      <c r="D3" t="s">
        <v>72</v>
      </c>
      <c r="E3" t="s">
        <v>100</v>
      </c>
      <c r="F3" s="9" t="str">
        <f>VLOOKUP(G3,Department!A$3:B$6,2,FALSE)</f>
        <v>d-102</v>
      </c>
      <c r="G3" t="s">
        <v>124</v>
      </c>
      <c r="H3" s="9" t="str">
        <f>VLOOKUP(I3,State!A$3:B$6,2,FALSE)</f>
        <v>s-113</v>
      </c>
      <c r="I3" t="s">
        <v>125</v>
      </c>
      <c r="J3" t="s">
        <v>51</v>
      </c>
      <c r="K3" s="5">
        <v>4500</v>
      </c>
      <c r="L3" s="5">
        <v>598</v>
      </c>
      <c r="M3" s="2">
        <f>IFERROR(L3/K3,0)</f>
        <v>0.13288888888888889</v>
      </c>
    </row>
    <row r="4" spans="1:13" x14ac:dyDescent="0.25">
      <c r="A4" t="s">
        <v>181</v>
      </c>
      <c r="B4" s="4">
        <v>45076</v>
      </c>
      <c r="C4" s="8" t="str">
        <f>VLOOKUP(D4,Client!A$3:C$30,2,FALSE)</f>
        <v>c-123</v>
      </c>
      <c r="D4" t="s">
        <v>73</v>
      </c>
      <c r="E4" t="s">
        <v>101</v>
      </c>
      <c r="F4" s="9" t="str">
        <f>VLOOKUP(G4,Department!A$3:B$6,2,FALSE)</f>
        <v>d-113</v>
      </c>
      <c r="G4" t="s">
        <v>126</v>
      </c>
      <c r="H4" s="9" t="str">
        <f>VLOOKUP(I4,State!A$3:B$6,2,FALSE)</f>
        <v>s-104</v>
      </c>
      <c r="I4" t="s">
        <v>127</v>
      </c>
      <c r="J4" t="s">
        <v>49</v>
      </c>
      <c r="K4" s="5">
        <v>3800</v>
      </c>
      <c r="L4" s="5">
        <v>1045</v>
      </c>
      <c r="M4" s="2">
        <f>IFERROR(L4/K4,0)</f>
        <v>0.27500000000000002</v>
      </c>
    </row>
    <row r="5" spans="1:13" x14ac:dyDescent="0.25">
      <c r="A5" t="s">
        <v>182</v>
      </c>
      <c r="B5" s="4">
        <v>45076</v>
      </c>
      <c r="C5" s="8" t="str">
        <f>VLOOKUP(D5,Client!A$3:C$30,2,FALSE)</f>
        <v>c-121</v>
      </c>
      <c r="D5" t="s">
        <v>74</v>
      </c>
      <c r="E5" t="s">
        <v>102</v>
      </c>
      <c r="F5" s="9" t="str">
        <f>VLOOKUP(G5,Department!A$3:B$6,2,FALSE)</f>
        <v>d-113</v>
      </c>
      <c r="G5" t="s">
        <v>126</v>
      </c>
      <c r="H5" s="9" t="str">
        <f>VLOOKUP(I5,State!A$3:B$6,2,FALSE)</f>
        <v>s-104</v>
      </c>
      <c r="I5" t="s">
        <v>127</v>
      </c>
      <c r="J5" t="s">
        <v>133</v>
      </c>
      <c r="K5" s="5">
        <v>3712.5</v>
      </c>
      <c r="L5" s="5">
        <v>1009</v>
      </c>
      <c r="M5" s="2">
        <f>M7</f>
        <v>0.1368</v>
      </c>
    </row>
    <row r="6" spans="1:13" x14ac:dyDescent="0.25">
      <c r="A6" t="s">
        <v>183</v>
      </c>
      <c r="B6" s="4">
        <v>45076</v>
      </c>
      <c r="C6" s="8" t="str">
        <f>VLOOKUP(D6,Client!A$3:C$30,2,FALSE)</f>
        <v>c-126</v>
      </c>
      <c r="D6" t="s">
        <v>75</v>
      </c>
      <c r="E6" t="s">
        <v>35</v>
      </c>
      <c r="F6" s="9" t="str">
        <f>VLOOKUP(G6,Department!A$3:B$6,2,FALSE)</f>
        <v>d-104</v>
      </c>
      <c r="G6" t="s">
        <v>128</v>
      </c>
      <c r="H6" s="9" t="str">
        <f>VLOOKUP(I6,State!A$3:B$6,2,FALSE)</f>
        <v>s-102</v>
      </c>
      <c r="I6" t="s">
        <v>129</v>
      </c>
      <c r="J6" t="s">
        <v>133</v>
      </c>
      <c r="K6" s="5">
        <v>4994</v>
      </c>
      <c r="L6" s="5">
        <v>779</v>
      </c>
      <c r="M6" s="2">
        <f t="shared" ref="M6:M30" si="0">IFERROR(L6/K6,0)</f>
        <v>0.15598718462154584</v>
      </c>
    </row>
    <row r="7" spans="1:13" x14ac:dyDescent="0.25">
      <c r="A7" t="s">
        <v>184</v>
      </c>
      <c r="B7" s="4">
        <v>45076</v>
      </c>
      <c r="C7" s="8" t="str">
        <f>VLOOKUP(D7,Client!A$3:C$30,2,FALSE)</f>
        <v>c-124</v>
      </c>
      <c r="D7" t="s">
        <v>76</v>
      </c>
      <c r="E7" t="s">
        <v>103</v>
      </c>
      <c r="F7" s="9" t="str">
        <f>VLOOKUP(G7,Department!A$3:B$6,2,FALSE)</f>
        <v>d-104</v>
      </c>
      <c r="G7" t="s">
        <v>128</v>
      </c>
      <c r="H7" s="9" t="str">
        <f>VLOOKUP(I7,State!A$3:B$6,2,FALSE)</f>
        <v>s-102</v>
      </c>
      <c r="I7" t="s">
        <v>129</v>
      </c>
      <c r="J7" t="s">
        <v>50</v>
      </c>
      <c r="K7" s="5">
        <v>5000</v>
      </c>
      <c r="L7" s="5">
        <v>684</v>
      </c>
      <c r="M7" s="2">
        <f t="shared" si="0"/>
        <v>0.1368</v>
      </c>
    </row>
    <row r="8" spans="1:13" x14ac:dyDescent="0.25">
      <c r="A8" t="s">
        <v>185</v>
      </c>
      <c r="B8" s="4">
        <v>45077</v>
      </c>
      <c r="C8" s="8" t="str">
        <f>VLOOKUP(D8,Client!A$3:C$30,2,FALSE)</f>
        <v>c-116</v>
      </c>
      <c r="D8" t="s">
        <v>77</v>
      </c>
      <c r="E8" t="s">
        <v>104</v>
      </c>
      <c r="F8" s="9" t="str">
        <f>VLOOKUP(G8,Department!A$3:B$6,2,FALSE)</f>
        <v>d-102</v>
      </c>
      <c r="G8" t="s">
        <v>124</v>
      </c>
      <c r="H8" s="9" t="str">
        <f>VLOOKUP(I8,State!A$3:B$6,2,FALSE)</f>
        <v>s-113</v>
      </c>
      <c r="I8" t="s">
        <v>125</v>
      </c>
      <c r="J8" t="s">
        <v>51</v>
      </c>
      <c r="K8" s="5">
        <v>6100</v>
      </c>
      <c r="L8" s="5">
        <v>544</v>
      </c>
      <c r="M8" s="2">
        <f t="shared" si="0"/>
        <v>8.9180327868852466E-2</v>
      </c>
    </row>
    <row r="9" spans="1:13" x14ac:dyDescent="0.25">
      <c r="A9" t="s">
        <v>186</v>
      </c>
      <c r="B9" s="4">
        <v>45077</v>
      </c>
      <c r="C9" s="8" t="str">
        <f>VLOOKUP(D9,Client!A$3:C$30,2,FALSE)</f>
        <v>c-120</v>
      </c>
      <c r="D9" t="s">
        <v>78</v>
      </c>
      <c r="E9" t="s">
        <v>105</v>
      </c>
      <c r="F9" s="9" t="str">
        <f>VLOOKUP(G9,Department!A$3:B$6,2,FALSE)</f>
        <v>d-102</v>
      </c>
      <c r="G9" t="s">
        <v>124</v>
      </c>
      <c r="H9" s="9" t="str">
        <f>VLOOKUP(I9,State!A$3:B$6,2,FALSE)</f>
        <v>s-113</v>
      </c>
      <c r="I9" t="s">
        <v>125</v>
      </c>
      <c r="J9" t="s">
        <v>51</v>
      </c>
      <c r="K9" s="5">
        <v>4625</v>
      </c>
      <c r="L9" s="5">
        <v>670</v>
      </c>
      <c r="M9" s="2">
        <f t="shared" si="0"/>
        <v>0.14486486486486486</v>
      </c>
    </row>
    <row r="10" spans="1:13" x14ac:dyDescent="0.25">
      <c r="A10" t="s">
        <v>187</v>
      </c>
      <c r="B10" s="4">
        <v>45077</v>
      </c>
      <c r="C10" s="8" t="str">
        <f>VLOOKUP(D10,Client!A$3:C$30,2,FALSE)</f>
        <v>c-106</v>
      </c>
      <c r="D10" t="s">
        <v>79</v>
      </c>
      <c r="E10" t="s">
        <v>106</v>
      </c>
      <c r="F10" s="9" t="str">
        <f>VLOOKUP(G10,Department!A$3:B$6,2,FALSE)</f>
        <v>d-102</v>
      </c>
      <c r="G10" t="s">
        <v>124</v>
      </c>
      <c r="H10" s="9" t="str">
        <f>VLOOKUP(I10,State!A$3:B$6,2,FALSE)</f>
        <v>s-113</v>
      </c>
      <c r="I10" t="s">
        <v>125</v>
      </c>
      <c r="J10" t="s">
        <v>51</v>
      </c>
      <c r="K10" s="5">
        <v>3800</v>
      </c>
      <c r="L10" s="5">
        <v>2045</v>
      </c>
      <c r="M10" s="2">
        <f t="shared" si="0"/>
        <v>0.53815789473684206</v>
      </c>
    </row>
    <row r="11" spans="1:13" x14ac:dyDescent="0.25">
      <c r="A11" t="s">
        <v>188</v>
      </c>
      <c r="B11" s="4">
        <v>45077</v>
      </c>
      <c r="C11" s="8" t="str">
        <f>VLOOKUP(D11,Client!A$3:C$30,2,FALSE)</f>
        <v>c-103</v>
      </c>
      <c r="D11" t="s">
        <v>80</v>
      </c>
      <c r="E11" t="s">
        <v>36</v>
      </c>
      <c r="F11" s="9" t="str">
        <f>VLOOKUP(G11,Department!A$3:B$6,2,FALSE)</f>
        <v>d-102</v>
      </c>
      <c r="G11" t="s">
        <v>124</v>
      </c>
      <c r="H11" s="9" t="str">
        <f>VLOOKUP(I11,State!A$3:B$6,2,FALSE)</f>
        <v>s-113</v>
      </c>
      <c r="I11" t="s">
        <v>125</v>
      </c>
      <c r="J11" t="s">
        <v>48</v>
      </c>
      <c r="K11" s="5">
        <v>3600</v>
      </c>
      <c r="L11" s="5">
        <v>1564</v>
      </c>
      <c r="M11" s="2">
        <f t="shared" si="0"/>
        <v>0.43444444444444447</v>
      </c>
    </row>
    <row r="12" spans="1:13" x14ac:dyDescent="0.25">
      <c r="A12" t="s">
        <v>189</v>
      </c>
      <c r="B12" s="4">
        <v>45077</v>
      </c>
      <c r="C12" s="8" t="str">
        <f>VLOOKUP(D12,Client!A$3:C$30,2,FALSE)</f>
        <v>c-128</v>
      </c>
      <c r="D12" t="s">
        <v>81</v>
      </c>
      <c r="E12" t="s">
        <v>37</v>
      </c>
      <c r="F12" s="9" t="str">
        <f>VLOOKUP(G12,Department!A$3:B$6,2,FALSE)</f>
        <v>d-102</v>
      </c>
      <c r="G12" t="s">
        <v>124</v>
      </c>
      <c r="H12" s="9" t="str">
        <f>VLOOKUP(I12,State!A$3:B$6,2,FALSE)</f>
        <v>s-113</v>
      </c>
      <c r="I12" t="s">
        <v>125</v>
      </c>
      <c r="J12" t="s">
        <v>50</v>
      </c>
      <c r="K12" s="5">
        <v>5100</v>
      </c>
      <c r="L12" s="5">
        <v>1220</v>
      </c>
      <c r="M12" s="2">
        <f t="shared" si="0"/>
        <v>0.23921568627450981</v>
      </c>
    </row>
    <row r="13" spans="1:13" x14ac:dyDescent="0.25">
      <c r="A13" t="s">
        <v>190</v>
      </c>
      <c r="B13" s="4">
        <v>45077</v>
      </c>
      <c r="C13" s="8" t="str">
        <f>VLOOKUP(D13,Client!A$3:C$30,2,FALSE)</f>
        <v>c-122</v>
      </c>
      <c r="D13" t="s">
        <v>82</v>
      </c>
      <c r="E13" t="s">
        <v>107</v>
      </c>
      <c r="F13" s="9" t="str">
        <f>VLOOKUP(G13,Department!A$3:B$6,2,FALSE)</f>
        <v>d-102</v>
      </c>
      <c r="G13" t="s">
        <v>124</v>
      </c>
      <c r="H13" s="9" t="str">
        <f>VLOOKUP(I13,State!A$3:B$6,2,FALSE)</f>
        <v>s-113</v>
      </c>
      <c r="I13" t="s">
        <v>125</v>
      </c>
      <c r="J13" t="s">
        <v>50</v>
      </c>
      <c r="K13" s="5">
        <v>4750</v>
      </c>
      <c r="L13" s="5">
        <v>1435</v>
      </c>
      <c r="M13" s="2">
        <f t="shared" si="0"/>
        <v>0.30210526315789471</v>
      </c>
    </row>
    <row r="14" spans="1:13" x14ac:dyDescent="0.25">
      <c r="A14" t="s">
        <v>191</v>
      </c>
      <c r="B14" s="4">
        <v>45077</v>
      </c>
      <c r="C14" s="8" t="str">
        <f>VLOOKUP(D14,Client!A$3:C$30,2,FALSE)</f>
        <v>c-108</v>
      </c>
      <c r="D14" t="s">
        <v>83</v>
      </c>
      <c r="E14" t="s">
        <v>108</v>
      </c>
      <c r="F14" s="9" t="str">
        <f>VLOOKUP(G14,Department!A$3:B$6,2,FALSE)</f>
        <v>d-104</v>
      </c>
      <c r="G14" t="s">
        <v>128</v>
      </c>
      <c r="H14" s="9" t="str">
        <f>VLOOKUP(I14,State!A$3:B$6,2,FALSE)</f>
        <v>s-102</v>
      </c>
      <c r="I14" t="s">
        <v>129</v>
      </c>
      <c r="J14" t="s">
        <v>51</v>
      </c>
      <c r="K14" s="5">
        <v>6000</v>
      </c>
      <c r="L14" s="5">
        <v>998</v>
      </c>
      <c r="M14" s="2">
        <f t="shared" si="0"/>
        <v>0.16633333333333333</v>
      </c>
    </row>
    <row r="15" spans="1:13" x14ac:dyDescent="0.25">
      <c r="A15" t="s">
        <v>192</v>
      </c>
      <c r="B15" s="4">
        <v>45077</v>
      </c>
      <c r="C15" s="8" t="str">
        <f>VLOOKUP(D15,Client!A$3:C$30,2,FALSE)</f>
        <v>c-118</v>
      </c>
      <c r="D15" t="s">
        <v>84</v>
      </c>
      <c r="E15" t="s">
        <v>109</v>
      </c>
      <c r="F15" s="9" t="str">
        <f>VLOOKUP(G15,Department!A$3:B$6,2,FALSE)</f>
        <v>d-101</v>
      </c>
      <c r="G15" t="s">
        <v>130</v>
      </c>
      <c r="H15" s="9" t="str">
        <f>VLOOKUP(I15,State!A$3:B$6,2,FALSE)</f>
        <v>s-101</v>
      </c>
      <c r="I15" t="s">
        <v>131</v>
      </c>
      <c r="J15" t="s">
        <v>50</v>
      </c>
      <c r="K15" s="5">
        <v>4500</v>
      </c>
      <c r="L15" s="5">
        <v>780</v>
      </c>
      <c r="M15" s="2">
        <f t="shared" si="0"/>
        <v>0.17333333333333334</v>
      </c>
    </row>
    <row r="16" spans="1:13" x14ac:dyDescent="0.25">
      <c r="A16" t="s">
        <v>193</v>
      </c>
      <c r="B16" s="4">
        <v>45078</v>
      </c>
      <c r="C16" s="8" t="str">
        <f>VLOOKUP(D16,Client!A$3:C$30,2,FALSE)</f>
        <v>c-110</v>
      </c>
      <c r="D16" t="s">
        <v>85</v>
      </c>
      <c r="E16" t="s">
        <v>38</v>
      </c>
      <c r="F16" s="9" t="str">
        <f>VLOOKUP(G16,Department!A$3:B$6,2,FALSE)</f>
        <v>d-101</v>
      </c>
      <c r="G16" t="s">
        <v>130</v>
      </c>
      <c r="H16" s="9" t="str">
        <f>VLOOKUP(I16,State!A$3:B$6,2,FALSE)</f>
        <v>s-101</v>
      </c>
      <c r="I16" t="s">
        <v>131</v>
      </c>
      <c r="J16" t="s">
        <v>48</v>
      </c>
      <c r="K16" s="5">
        <v>4994</v>
      </c>
      <c r="L16" s="5">
        <v>1044</v>
      </c>
      <c r="M16" s="2">
        <f t="shared" si="0"/>
        <v>0.20905086103323989</v>
      </c>
    </row>
    <row r="17" spans="1:13" x14ac:dyDescent="0.25">
      <c r="A17" t="s">
        <v>194</v>
      </c>
      <c r="B17" s="4">
        <v>45078</v>
      </c>
      <c r="C17" s="8" t="str">
        <f>VLOOKUP(D17,Client!A$3:C$30,2,FALSE)</f>
        <v>c-127</v>
      </c>
      <c r="D17" t="s">
        <v>86</v>
      </c>
      <c r="E17" t="s">
        <v>110</v>
      </c>
      <c r="F17" s="9" t="str">
        <f>VLOOKUP(G17,Department!A$3:B$6,2,FALSE)</f>
        <v>d-101</v>
      </c>
      <c r="G17" t="s">
        <v>130</v>
      </c>
      <c r="H17" s="9" t="str">
        <f>VLOOKUP(I17,State!A$3:B$6,2,FALSE)</f>
        <v>s-101</v>
      </c>
      <c r="I17" t="s">
        <v>131</v>
      </c>
      <c r="J17" t="s">
        <v>51</v>
      </c>
      <c r="K17" s="5">
        <v>3712.5</v>
      </c>
      <c r="L17" s="5">
        <v>1222</v>
      </c>
      <c r="M17" s="2">
        <f t="shared" si="0"/>
        <v>0.32915824915824915</v>
      </c>
    </row>
    <row r="18" spans="1:13" x14ac:dyDescent="0.25">
      <c r="A18" t="s">
        <v>195</v>
      </c>
      <c r="B18" s="4">
        <v>45078</v>
      </c>
      <c r="C18" s="8" t="str">
        <f>VLOOKUP(D18,Client!A$3:C$30,2,FALSE)</f>
        <v>c-125</v>
      </c>
      <c r="D18" t="s">
        <v>87</v>
      </c>
      <c r="E18" t="s">
        <v>111</v>
      </c>
      <c r="F18" s="9" t="str">
        <f>VLOOKUP(G18,Department!A$3:B$6,2,FALSE)</f>
        <v>d-101</v>
      </c>
      <c r="G18" t="s">
        <v>130</v>
      </c>
      <c r="H18" s="9" t="str">
        <f>VLOOKUP(I18,State!A$3:B$6,2,FALSE)</f>
        <v>s-101</v>
      </c>
      <c r="I18" t="s">
        <v>131</v>
      </c>
      <c r="J18" t="s">
        <v>51</v>
      </c>
      <c r="K18" s="5">
        <v>4950</v>
      </c>
      <c r="L18" s="5">
        <v>1065</v>
      </c>
      <c r="M18" s="2">
        <f t="shared" si="0"/>
        <v>0.21515151515151515</v>
      </c>
    </row>
    <row r="19" spans="1:13" x14ac:dyDescent="0.25">
      <c r="A19" t="s">
        <v>196</v>
      </c>
      <c r="B19" s="4">
        <v>45078</v>
      </c>
      <c r="C19" s="8" t="str">
        <f>VLOOKUP(D19,Client!A$3:C$30,2,FALSE)</f>
        <v>c-105</v>
      </c>
      <c r="D19" t="s">
        <v>88</v>
      </c>
      <c r="E19" t="s">
        <v>112</v>
      </c>
      <c r="F19" s="9" t="str">
        <f>VLOOKUP(G19,Department!A$3:B$6,2,FALSE)</f>
        <v>d-104</v>
      </c>
      <c r="G19" t="s">
        <v>128</v>
      </c>
      <c r="H19" s="9" t="str">
        <f>VLOOKUP(I19,State!A$3:B$6,2,FALSE)</f>
        <v>s-102</v>
      </c>
      <c r="I19" t="s">
        <v>129</v>
      </c>
      <c r="J19" t="s">
        <v>51</v>
      </c>
      <c r="K19" s="5">
        <v>4750</v>
      </c>
      <c r="L19" s="5">
        <v>810</v>
      </c>
      <c r="M19" s="2">
        <f t="shared" si="0"/>
        <v>0.17052631578947369</v>
      </c>
    </row>
    <row r="20" spans="1:13" x14ac:dyDescent="0.25">
      <c r="A20" t="s">
        <v>197</v>
      </c>
      <c r="B20" s="4">
        <v>45078</v>
      </c>
      <c r="C20" s="8" t="str">
        <f>VLOOKUP(D20,Client!A$3:C$30,2,FALSE)</f>
        <v>c-104</v>
      </c>
      <c r="D20" t="s">
        <v>89</v>
      </c>
      <c r="E20" t="s">
        <v>113</v>
      </c>
      <c r="F20" s="9" t="str">
        <f>VLOOKUP(G20,Department!A$3:B$6,2,FALSE)</f>
        <v>d-104</v>
      </c>
      <c r="G20" t="s">
        <v>128</v>
      </c>
      <c r="H20" s="9" t="str">
        <f>VLOOKUP(I20,State!A$3:B$6,2,FALSE)</f>
        <v>s-102</v>
      </c>
      <c r="I20" t="s">
        <v>129</v>
      </c>
      <c r="J20" t="s">
        <v>51</v>
      </c>
      <c r="K20" s="5">
        <v>7320</v>
      </c>
      <c r="L20" s="5">
        <v>933</v>
      </c>
      <c r="M20" s="2">
        <f t="shared" si="0"/>
        <v>0.12745901639344262</v>
      </c>
    </row>
    <row r="21" spans="1:13" x14ac:dyDescent="0.25">
      <c r="A21" t="s">
        <v>198</v>
      </c>
      <c r="B21" s="4">
        <v>45078</v>
      </c>
      <c r="C21" s="8" t="str">
        <f>VLOOKUP(D21,Client!A$3:C$30,2,FALSE)</f>
        <v>c-102</v>
      </c>
      <c r="D21" t="s">
        <v>90</v>
      </c>
      <c r="E21" t="s">
        <v>114</v>
      </c>
      <c r="F21" s="9" t="str">
        <f>VLOOKUP(G21,Department!A$3:B$6,2,FALSE)</f>
        <v>d-101</v>
      </c>
      <c r="G21" t="s">
        <v>130</v>
      </c>
      <c r="H21" s="9" t="str">
        <f>VLOOKUP(I21,State!A$3:B$6,2,FALSE)</f>
        <v>s-101</v>
      </c>
      <c r="I21" t="s">
        <v>131</v>
      </c>
      <c r="J21" t="s">
        <v>51</v>
      </c>
      <c r="K21" s="5">
        <v>5087.5</v>
      </c>
      <c r="L21" s="5">
        <v>655</v>
      </c>
      <c r="M21" s="2">
        <f t="shared" si="0"/>
        <v>0.12874692874692875</v>
      </c>
    </row>
    <row r="22" spans="1:13" x14ac:dyDescent="0.25">
      <c r="A22" t="s">
        <v>199</v>
      </c>
      <c r="B22" s="4">
        <v>45078</v>
      </c>
      <c r="C22" s="8" t="str">
        <f>VLOOKUP(D22,Client!A$3:C$30,2,FALSE)</f>
        <v>c-114</v>
      </c>
      <c r="D22" t="s">
        <v>91</v>
      </c>
      <c r="E22" t="s">
        <v>115</v>
      </c>
      <c r="F22" s="9" t="str">
        <f>VLOOKUP(G22,Department!A$3:B$6,2,FALSE)</f>
        <v>d-101</v>
      </c>
      <c r="G22" t="s">
        <v>130</v>
      </c>
      <c r="H22" s="9" t="str">
        <f>VLOOKUP(I22,State!A$3:B$6,2,FALSE)</f>
        <v>s-101</v>
      </c>
      <c r="I22" t="s">
        <v>131</v>
      </c>
      <c r="J22" t="s">
        <v>51</v>
      </c>
      <c r="K22" s="5">
        <v>4500</v>
      </c>
      <c r="L22" s="5">
        <v>722</v>
      </c>
      <c r="M22" s="2">
        <f t="shared" si="0"/>
        <v>0.16044444444444445</v>
      </c>
    </row>
    <row r="23" spans="1:13" x14ac:dyDescent="0.25">
      <c r="A23" t="s">
        <v>200</v>
      </c>
      <c r="B23" s="4">
        <v>45078</v>
      </c>
      <c r="C23" s="8" t="str">
        <f>VLOOKUP(D23,Client!A$3:C$30,2,FALSE)</f>
        <v>c-113</v>
      </c>
      <c r="D23" t="s">
        <v>92</v>
      </c>
      <c r="E23" t="s">
        <v>116</v>
      </c>
      <c r="F23" s="9" t="str">
        <f>VLOOKUP(G23,Department!A$3:B$6,2,FALSE)</f>
        <v>d-101</v>
      </c>
      <c r="G23" t="s">
        <v>130</v>
      </c>
      <c r="H23" s="9" t="str">
        <f>VLOOKUP(I23,State!A$3:B$6,2,FALSE)</f>
        <v>s-101</v>
      </c>
      <c r="I23" t="s">
        <v>131</v>
      </c>
      <c r="J23" t="s">
        <v>48</v>
      </c>
      <c r="K23" s="5">
        <v>4250</v>
      </c>
      <c r="L23" s="5">
        <v>901</v>
      </c>
      <c r="M23" s="2">
        <f t="shared" si="0"/>
        <v>0.21199999999999999</v>
      </c>
    </row>
    <row r="24" spans="1:13" x14ac:dyDescent="0.25">
      <c r="A24" t="s">
        <v>201</v>
      </c>
      <c r="B24" s="4">
        <v>45079</v>
      </c>
      <c r="C24" s="8" t="str">
        <f>VLOOKUP(D24,Client!A$3:C$30,2,FALSE)</f>
        <v>c-119</v>
      </c>
      <c r="D24" t="s">
        <v>93</v>
      </c>
      <c r="E24" t="s">
        <v>117</v>
      </c>
      <c r="F24" s="9" t="str">
        <f>VLOOKUP(G24,Department!A$3:B$6,2,FALSE)</f>
        <v>d-101</v>
      </c>
      <c r="G24" t="s">
        <v>130</v>
      </c>
      <c r="H24" s="9" t="str">
        <f>VLOOKUP(I24,State!A$3:B$6,2,FALSE)</f>
        <v>s-101</v>
      </c>
      <c r="I24" t="s">
        <v>131</v>
      </c>
      <c r="J24" t="s">
        <v>49</v>
      </c>
      <c r="K24" s="5">
        <v>5250</v>
      </c>
      <c r="L24" s="5">
        <v>1349</v>
      </c>
      <c r="M24" s="2">
        <f t="shared" si="0"/>
        <v>0.25695238095238093</v>
      </c>
    </row>
    <row r="25" spans="1:13" x14ac:dyDescent="0.25">
      <c r="A25" t="s">
        <v>202</v>
      </c>
      <c r="B25" s="4">
        <v>45079</v>
      </c>
      <c r="C25" s="8" t="str">
        <f>VLOOKUP(D25,Client!A$3:C$30,2,FALSE)</f>
        <v>c-107</v>
      </c>
      <c r="D25" t="s">
        <v>94</v>
      </c>
      <c r="E25" t="s">
        <v>118</v>
      </c>
      <c r="F25" s="9" t="str">
        <f>VLOOKUP(G25,Department!A$3:B$6,2,FALSE)</f>
        <v>d-113</v>
      </c>
      <c r="G25" t="s">
        <v>126</v>
      </c>
      <c r="H25" s="9" t="str">
        <f>VLOOKUP(I25,State!A$3:B$6,2,FALSE)</f>
        <v>s-104</v>
      </c>
      <c r="I25" t="s">
        <v>127</v>
      </c>
      <c r="J25" t="s">
        <v>49</v>
      </c>
      <c r="K25" s="5">
        <v>6500</v>
      </c>
      <c r="L25" s="5">
        <v>1288</v>
      </c>
      <c r="M25" s="2">
        <f t="shared" si="0"/>
        <v>0.19815384615384615</v>
      </c>
    </row>
    <row r="26" spans="1:13" x14ac:dyDescent="0.25">
      <c r="A26" t="s">
        <v>203</v>
      </c>
      <c r="B26" s="4">
        <v>45079</v>
      </c>
      <c r="C26" s="8" t="str">
        <f>VLOOKUP(D26,Client!A$3:C$30,2,FALSE)</f>
        <v>c-109</v>
      </c>
      <c r="D26" t="s">
        <v>95</v>
      </c>
      <c r="E26" t="s">
        <v>119</v>
      </c>
      <c r="F26" s="9" t="str">
        <f>VLOOKUP(G26,Department!A$3:B$6,2,FALSE)</f>
        <v>d-113</v>
      </c>
      <c r="G26" t="s">
        <v>126</v>
      </c>
      <c r="H26" s="9" t="str">
        <f>VLOOKUP(I26,State!A$3:B$6,2,FALSE)</f>
        <v>s-104</v>
      </c>
      <c r="I26" t="s">
        <v>127</v>
      </c>
      <c r="J26" t="s">
        <v>49</v>
      </c>
      <c r="K26" s="5">
        <v>7500</v>
      </c>
      <c r="L26" s="5">
        <v>1664</v>
      </c>
      <c r="M26" s="2">
        <f t="shared" si="0"/>
        <v>0.22186666666666666</v>
      </c>
    </row>
    <row r="27" spans="1:13" x14ac:dyDescent="0.25">
      <c r="A27" t="s">
        <v>204</v>
      </c>
      <c r="B27" s="4">
        <v>45079</v>
      </c>
      <c r="C27" s="8" t="str">
        <f>VLOOKUP(D27,Client!A$3:C$30,2,FALSE)</f>
        <v>c-115</v>
      </c>
      <c r="D27" t="s">
        <v>96</v>
      </c>
      <c r="E27" t="s">
        <v>120</v>
      </c>
      <c r="F27" s="9" t="str">
        <f>VLOOKUP(G27,Department!A$3:B$6,2,FALSE)</f>
        <v>d-113</v>
      </c>
      <c r="G27" t="s">
        <v>126</v>
      </c>
      <c r="H27" s="9" t="str">
        <f>VLOOKUP(I27,State!A$3:B$6,2,FALSE)</f>
        <v>s-104</v>
      </c>
      <c r="I27" t="s">
        <v>127</v>
      </c>
      <c r="J27" t="s">
        <v>51</v>
      </c>
      <c r="K27" s="5">
        <v>5500</v>
      </c>
      <c r="L27" s="5">
        <v>1320</v>
      </c>
      <c r="M27" s="2">
        <f t="shared" si="0"/>
        <v>0.24</v>
      </c>
    </row>
    <row r="28" spans="1:13" x14ac:dyDescent="0.25">
      <c r="A28" t="s">
        <v>205</v>
      </c>
      <c r="B28" s="4">
        <v>45079</v>
      </c>
      <c r="C28" s="8" t="str">
        <f>VLOOKUP(D28,Client!A$3:C$30,2,FALSE)</f>
        <v>c-111</v>
      </c>
      <c r="D28" t="s">
        <v>97</v>
      </c>
      <c r="E28" t="s">
        <v>121</v>
      </c>
      <c r="F28" s="9" t="str">
        <f>VLOOKUP(G28,Department!A$3:B$6,2,FALSE)</f>
        <v>d-113</v>
      </c>
      <c r="G28" t="s">
        <v>126</v>
      </c>
      <c r="H28" s="9" t="str">
        <f>VLOOKUP(I28,State!A$3:B$6,2,FALSE)</f>
        <v>s-104</v>
      </c>
      <c r="I28" t="s">
        <v>127</v>
      </c>
      <c r="J28" t="s">
        <v>51</v>
      </c>
      <c r="K28" s="5">
        <v>4625</v>
      </c>
      <c r="L28" s="5">
        <v>1001</v>
      </c>
      <c r="M28" s="2">
        <f t="shared" si="0"/>
        <v>0.21643243243243243</v>
      </c>
    </row>
    <row r="29" spans="1:13" x14ac:dyDescent="0.25">
      <c r="A29" t="s">
        <v>206</v>
      </c>
      <c r="B29" s="4">
        <v>45079</v>
      </c>
      <c r="C29" s="8" t="str">
        <f>VLOOKUP(D29,Client!A$3:C$30,2,FALSE)</f>
        <v>c-112</v>
      </c>
      <c r="D29" t="s">
        <v>98</v>
      </c>
      <c r="E29" t="s">
        <v>122</v>
      </c>
      <c r="F29" s="9" t="str">
        <f>VLOOKUP(G29,Department!A$3:B$6,2,FALSE)</f>
        <v>d-113</v>
      </c>
      <c r="G29" t="s">
        <v>126</v>
      </c>
      <c r="H29" s="9" t="str">
        <f>VLOOKUP(I29,State!A$3:B$6,2,FALSE)</f>
        <v>s-104</v>
      </c>
      <c r="I29" t="s">
        <v>127</v>
      </c>
      <c r="J29" t="s">
        <v>51</v>
      </c>
      <c r="K29" s="5">
        <v>4500</v>
      </c>
      <c r="L29" s="5">
        <v>960</v>
      </c>
      <c r="M29" s="2">
        <f t="shared" si="0"/>
        <v>0.21333333333333335</v>
      </c>
    </row>
    <row r="30" spans="1:13" x14ac:dyDescent="0.25">
      <c r="A30" t="s">
        <v>207</v>
      </c>
      <c r="B30" s="4">
        <v>45079</v>
      </c>
      <c r="C30" s="8" t="str">
        <f>VLOOKUP(D30,Client!A$3:C$30,2,FALSE)</f>
        <v>c-117</v>
      </c>
      <c r="D30" t="s">
        <v>99</v>
      </c>
      <c r="E30" t="s">
        <v>39</v>
      </c>
      <c r="F30" s="9" t="str">
        <f>VLOOKUP(G30,Department!A$3:B$6,2,FALSE)</f>
        <v>d-113</v>
      </c>
      <c r="G30" t="s">
        <v>126</v>
      </c>
      <c r="H30" s="9" t="str">
        <f>VLOOKUP(I30,State!A$3:B$6,2,FALSE)</f>
        <v>s-104</v>
      </c>
      <c r="I30" t="s">
        <v>127</v>
      </c>
      <c r="J30" t="s">
        <v>48</v>
      </c>
      <c r="K30" s="5">
        <v>5400</v>
      </c>
      <c r="L30" s="5">
        <v>540</v>
      </c>
      <c r="M30" s="2">
        <f t="shared" si="0"/>
        <v>0.1</v>
      </c>
    </row>
    <row r="34" spans="11:11" x14ac:dyDescent="0.25">
      <c r="K34" s="1">
        <f>AVERAGE(K3:K33)</f>
        <v>4975.7321428571431</v>
      </c>
    </row>
    <row r="35" spans="11:11" x14ac:dyDescent="0.25">
      <c r="K35" s="1"/>
    </row>
    <row r="36" spans="11:11" x14ac:dyDescent="0.25">
      <c r="K36" s="1"/>
    </row>
    <row r="37" spans="11:11" x14ac:dyDescent="0.25">
      <c r="K37" s="1"/>
    </row>
    <row r="38" spans="11:11" x14ac:dyDescent="0.25">
      <c r="K38" s="1"/>
    </row>
    <row r="39" spans="11:11" x14ac:dyDescent="0.25">
      <c r="K39" s="1"/>
    </row>
    <row r="40" spans="11:11" x14ac:dyDescent="0.25">
      <c r="K40" s="1"/>
    </row>
    <row r="41" spans="11:11" x14ac:dyDescent="0.25">
      <c r="K41" s="1"/>
    </row>
    <row r="42" spans="11:11" x14ac:dyDescent="0.25">
      <c r="K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Cleaning Start</vt:lpstr>
      <vt:lpstr>Data Cleaning Start (2)</vt:lpstr>
      <vt:lpstr>Client</vt:lpstr>
      <vt:lpstr>State</vt:lpstr>
      <vt:lpstr>Payment</vt:lpstr>
      <vt:lpstr>Department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CCA_CollegeLibrary</cp:lastModifiedBy>
  <dcterms:created xsi:type="dcterms:W3CDTF">2023-05-29T07:26:35Z</dcterms:created>
  <dcterms:modified xsi:type="dcterms:W3CDTF">2026-02-06T05:42:50Z</dcterms:modified>
</cp:coreProperties>
</file>